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edropmx-my.sharepoint.com/personal/emanuel_firedropmx_onmicrosoft_com/Documents/"/>
    </mc:Choice>
  </mc:AlternateContent>
  <xr:revisionPtr revIDLastSave="213" documentId="8_{C1C2824F-6C14-4EAF-851D-D66A95AD0D06}" xr6:coauthVersionLast="47" xr6:coauthVersionMax="47" xr10:uidLastSave="{914371D7-4B9E-4F61-966E-79136C4F394D}"/>
  <bookViews>
    <workbookView xWindow="-110" yWindow="-110" windowWidth="24220" windowHeight="15500" xr2:uid="{F33882F9-F0DA-4FA4-A92D-3B4B82CE5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  <c r="B31" i="1" s="1"/>
  <c r="C25" i="1"/>
  <c r="B25" i="1"/>
  <c r="C24" i="1"/>
  <c r="B24" i="1"/>
  <c r="C23" i="1"/>
  <c r="B23" i="1"/>
  <c r="B34" i="1" l="1"/>
  <c r="C33" i="1"/>
  <c r="C43" i="1"/>
  <c r="C34" i="1"/>
  <c r="B40" i="1"/>
  <c r="B33" i="1"/>
  <c r="B43" i="1"/>
  <c r="C45" i="1" l="1"/>
  <c r="B45" i="1"/>
</calcChain>
</file>

<file path=xl/sharedStrings.xml><?xml version="1.0" encoding="utf-8"?>
<sst xmlns="http://schemas.openxmlformats.org/spreadsheetml/2006/main" count="32" uniqueCount="30">
  <si>
    <t>Cota Inferior</t>
  </si>
  <si>
    <t>Cota Superior</t>
  </si>
  <si>
    <t>Nombre</t>
  </si>
  <si>
    <t>Rubén</t>
  </si>
  <si>
    <t>Ulises</t>
  </si>
  <si>
    <t>Estatura</t>
  </si>
  <si>
    <t>Peso</t>
  </si>
  <si>
    <t>Aldair</t>
  </si>
  <si>
    <t>Gya</t>
  </si>
  <si>
    <t>Jessica</t>
  </si>
  <si>
    <t>Carlos</t>
  </si>
  <si>
    <t>Jair</t>
  </si>
  <si>
    <t>Gaby</t>
  </si>
  <si>
    <t>Hugo</t>
  </si>
  <si>
    <t>Cristina</t>
  </si>
  <si>
    <t>Sabrina</t>
  </si>
  <si>
    <t>Emanuel</t>
  </si>
  <si>
    <t>Estimaciones puntuales</t>
  </si>
  <si>
    <t>Media Muestral</t>
  </si>
  <si>
    <t>Varianza Muestral</t>
  </si>
  <si>
    <t>Desviación Estándar Muestral</t>
  </si>
  <si>
    <t>Número de datos (n)</t>
  </si>
  <si>
    <t>Intervalos de confianza</t>
  </si>
  <si>
    <r>
      <t>Nivel de significancia (</t>
    </r>
    <r>
      <rPr>
        <sz val="11"/>
        <color theme="1"/>
        <rFont val="Aptos Narrow"/>
        <family val="2"/>
      </rPr>
      <t>α)</t>
    </r>
  </si>
  <si>
    <t>Mu_0</t>
  </si>
  <si>
    <t>Resultado</t>
  </si>
  <si>
    <t>Tabla de datos</t>
  </si>
  <si>
    <t>Estadístico (T)</t>
  </si>
  <si>
    <t>Prueba de Hipótesis dos colas</t>
  </si>
  <si>
    <t>Valor crítico (t-student)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</si>
</sst>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2" fontId="0" fillId="0" borderId="0" xfId="0" applyNumberFormat="1"/>
    <xf numFmtId="2" fontId="0" fillId="0" borderId="0" xfId="0" applyNumberFormat="1" applyFill="1"/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0695-203A-427C-8BED-26FBB0FE82B5}">
  <dimension ref="A1:C45"/>
  <sheetViews>
    <sheetView tabSelected="1" topLeftCell="A4" workbookViewId="0">
      <selection activeCell="A40" sqref="A40"/>
    </sheetView>
  </sheetViews>
  <sheetFormatPr baseColWidth="10" defaultRowHeight="14.5" x14ac:dyDescent="0.35"/>
  <cols>
    <col min="1" max="1" width="24.90625" bestFit="1" customWidth="1"/>
    <col min="2" max="3" width="13" customWidth="1"/>
  </cols>
  <sheetData>
    <row r="1" spans="1:3" ht="21" x14ac:dyDescent="0.5">
      <c r="A1" s="6" t="s">
        <v>26</v>
      </c>
    </row>
    <row r="3" spans="1:3" x14ac:dyDescent="0.35">
      <c r="A3" s="7" t="s">
        <v>2</v>
      </c>
      <c r="B3" s="7" t="s">
        <v>5</v>
      </c>
      <c r="C3" s="7" t="s">
        <v>6</v>
      </c>
    </row>
    <row r="4" spans="1:3" x14ac:dyDescent="0.35">
      <c r="A4" t="s">
        <v>3</v>
      </c>
      <c r="B4">
        <v>178</v>
      </c>
      <c r="C4">
        <v>78</v>
      </c>
    </row>
    <row r="5" spans="1:3" x14ac:dyDescent="0.35">
      <c r="A5" t="s">
        <v>4</v>
      </c>
      <c r="B5">
        <v>175</v>
      </c>
      <c r="C5">
        <v>90</v>
      </c>
    </row>
    <row r="6" spans="1:3" x14ac:dyDescent="0.35">
      <c r="A6" t="s">
        <v>7</v>
      </c>
      <c r="B6">
        <v>168</v>
      </c>
      <c r="C6">
        <v>75</v>
      </c>
    </row>
    <row r="7" spans="1:3" x14ac:dyDescent="0.35">
      <c r="A7" t="s">
        <v>8</v>
      </c>
      <c r="B7">
        <v>156</v>
      </c>
      <c r="C7">
        <v>50</v>
      </c>
    </row>
    <row r="8" spans="1:3" x14ac:dyDescent="0.35">
      <c r="A8" t="s">
        <v>9</v>
      </c>
      <c r="B8">
        <v>158</v>
      </c>
      <c r="C8">
        <v>75</v>
      </c>
    </row>
    <row r="9" spans="1:3" x14ac:dyDescent="0.35">
      <c r="A9" t="s">
        <v>10</v>
      </c>
      <c r="B9">
        <v>178</v>
      </c>
      <c r="C9">
        <v>95</v>
      </c>
    </row>
    <row r="10" spans="1:3" x14ac:dyDescent="0.35">
      <c r="A10" t="s">
        <v>11</v>
      </c>
      <c r="B10">
        <v>175</v>
      </c>
      <c r="C10">
        <v>84</v>
      </c>
    </row>
    <row r="11" spans="1:3" x14ac:dyDescent="0.35">
      <c r="A11" t="s">
        <v>12</v>
      </c>
      <c r="B11">
        <v>155</v>
      </c>
      <c r="C11">
        <v>65</v>
      </c>
    </row>
    <row r="12" spans="1:3" x14ac:dyDescent="0.35">
      <c r="A12" t="s">
        <v>13</v>
      </c>
      <c r="B12">
        <v>169</v>
      </c>
      <c r="C12">
        <v>69</v>
      </c>
    </row>
    <row r="13" spans="1:3" x14ac:dyDescent="0.35">
      <c r="A13" t="s">
        <v>14</v>
      </c>
      <c r="B13">
        <v>170</v>
      </c>
      <c r="C13">
        <v>80</v>
      </c>
    </row>
    <row r="14" spans="1:3" x14ac:dyDescent="0.35">
      <c r="A14" t="s">
        <v>15</v>
      </c>
      <c r="B14">
        <v>156</v>
      </c>
      <c r="C14">
        <v>59</v>
      </c>
    </row>
    <row r="15" spans="1:3" x14ac:dyDescent="0.35">
      <c r="A15" t="s">
        <v>16</v>
      </c>
      <c r="B15">
        <v>180</v>
      </c>
      <c r="C15">
        <v>75</v>
      </c>
    </row>
    <row r="18" spans="1:3" x14ac:dyDescent="0.35">
      <c r="A18" t="s">
        <v>21</v>
      </c>
      <c r="B18">
        <f>COUNTA($A$4:$A$15)</f>
        <v>12</v>
      </c>
    </row>
    <row r="21" spans="1:3" ht="21" x14ac:dyDescent="0.5">
      <c r="A21" s="6" t="s">
        <v>17</v>
      </c>
    </row>
    <row r="23" spans="1:3" x14ac:dyDescent="0.35">
      <c r="A23" t="s">
        <v>18</v>
      </c>
      <c r="B23" s="2">
        <f>AVERAGE(B$4:B$15)</f>
        <v>168.16666666666666</v>
      </c>
      <c r="C23" s="2">
        <f>AVERAGE(C$4:C$15)</f>
        <v>74.583333333333329</v>
      </c>
    </row>
    <row r="24" spans="1:3" x14ac:dyDescent="0.35">
      <c r="A24" t="s">
        <v>19</v>
      </c>
      <c r="B24" s="2">
        <f>_xlfn.VAR.S(B$4:B$15)</f>
        <v>91.242424242424249</v>
      </c>
      <c r="C24" s="2">
        <f>_xlfn.VAR.S(C$4:C$15)</f>
        <v>159.53787878787924</v>
      </c>
    </row>
    <row r="25" spans="1:3" x14ac:dyDescent="0.35">
      <c r="A25" t="s">
        <v>20</v>
      </c>
      <c r="B25" s="2">
        <f>_xlfn.STDEV.S(B$4:B$15)</f>
        <v>9.5520900457661231</v>
      </c>
      <c r="C25" s="2">
        <f>_xlfn.STDEV.S(C$4:C$15)</f>
        <v>12.630830486863452</v>
      </c>
    </row>
    <row r="28" spans="1:3" ht="21" x14ac:dyDescent="0.5">
      <c r="A28" s="6" t="s">
        <v>22</v>
      </c>
    </row>
    <row r="30" spans="1:3" x14ac:dyDescent="0.35">
      <c r="A30" t="s">
        <v>23</v>
      </c>
      <c r="B30" s="1">
        <v>0.05</v>
      </c>
    </row>
    <row r="31" spans="1:3" x14ac:dyDescent="0.35">
      <c r="A31" t="s">
        <v>29</v>
      </c>
      <c r="B31" s="2">
        <f>_xlfn.T.INV.2T($B$30,$B$18-1)</f>
        <v>2.2009851600916384</v>
      </c>
    </row>
    <row r="33" spans="1:3" x14ac:dyDescent="0.35">
      <c r="A33" t="s">
        <v>0</v>
      </c>
      <c r="B33" s="3">
        <f>B$23-(B$25/SQRT($B$18))*$B$31</f>
        <v>162.09755820093412</v>
      </c>
      <c r="C33" s="3">
        <f>C$23-(C$25/SQRT($B$18))*$B$31</f>
        <v>66.558086516168586</v>
      </c>
    </row>
    <row r="34" spans="1:3" x14ac:dyDescent="0.35">
      <c r="A34" t="s">
        <v>1</v>
      </c>
      <c r="B34" s="3">
        <f>B$23+(B$25/SQRT($B$18))*$B$31</f>
        <v>174.2357751323992</v>
      </c>
      <c r="C34" s="3">
        <f>C$23+(C$25/SQRT($B$18))*$B$31</f>
        <v>82.608580150498071</v>
      </c>
    </row>
    <row r="37" spans="1:3" ht="21" x14ac:dyDescent="0.5">
      <c r="A37" s="6" t="s">
        <v>28</v>
      </c>
    </row>
    <row r="39" spans="1:3" x14ac:dyDescent="0.35">
      <c r="A39" t="s">
        <v>23</v>
      </c>
      <c r="B39" s="1">
        <v>0.05</v>
      </c>
    </row>
    <row r="40" spans="1:3" x14ac:dyDescent="0.35">
      <c r="A40" t="s">
        <v>29</v>
      </c>
      <c r="B40" s="2">
        <f>_xlfn.T.INV.2T($B$30,$B$18-1)</f>
        <v>2.2009851600916384</v>
      </c>
    </row>
    <row r="42" spans="1:3" x14ac:dyDescent="0.35">
      <c r="A42" t="s">
        <v>24</v>
      </c>
      <c r="B42">
        <v>165</v>
      </c>
      <c r="C42">
        <v>70</v>
      </c>
    </row>
    <row r="43" spans="1:3" x14ac:dyDescent="0.35">
      <c r="A43" t="s">
        <v>27</v>
      </c>
      <c r="B43" s="2">
        <f>SQRT($B$18)*(B$23-B$42)/B$25</f>
        <v>1.1484036542834997</v>
      </c>
      <c r="C43" s="2">
        <f>SQRT($B$18)*(C$23-C$42)/C$25</f>
        <v>1.257014130561527</v>
      </c>
    </row>
    <row r="45" spans="1:3" ht="29" x14ac:dyDescent="0.35">
      <c r="A45" s="5" t="s">
        <v>25</v>
      </c>
      <c r="B45" s="4" t="str">
        <f>IF(ABS(B$43)&gt;$B$40,"Se rechaza H_0","No se rechaza H_0")</f>
        <v>No se rechaza H_0</v>
      </c>
      <c r="C45" s="4" t="str">
        <f>IF(ABS(C$43)&gt;$B$40,"Se rechaza H_0","No se rechaza H_0")</f>
        <v>No se rechaza H_0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Mejia</dc:creator>
  <cp:lastModifiedBy>Emanuel Mejia</cp:lastModifiedBy>
  <dcterms:created xsi:type="dcterms:W3CDTF">2026-05-23T04:45:06Z</dcterms:created>
  <dcterms:modified xsi:type="dcterms:W3CDTF">2026-05-24T02:06:53Z</dcterms:modified>
</cp:coreProperties>
</file>